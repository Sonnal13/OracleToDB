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Loops &amp; Cursors" sheetId="5" r:id="rId5"/>
    <sheet name="Conditionals" sheetId="6" r:id="rId6"/>
    <sheet name="SQL Special Patterns" sheetId="7" r:id="rId7"/>
    <sheet name="Functions" sheetId="8" r:id="rId8"/>
    <sheet name="Functions by Script" sheetId="9" r:id="rId9"/>
    <sheet name="Scripts Functions Xref" sheetId="10" r:id="rId10"/>
    <sheet name="Referenced Objects" sheetId="11" r:id="rId11"/>
    <sheet name="Program-Object Xref" sheetId="12" r:id="rId12"/>
    <sheet name="RAW_PROGRAM_OBJECT_XREF" sheetId="13" r:id="rId13"/>
    <sheet name="SQL Data Types" sheetId="14" r:id="rId14"/>
  </sheets>
  <definedNames>
    <definedName name="_xlnm._FilterDatabase" localSheetId="5" hidden="1">Conditionals!$A$1:$C$2</definedName>
    <definedName name="_xlnm._FilterDatabase" localSheetId="7" hidden="1">Functions!$A$1:$B$7</definedName>
    <definedName name="_xlnm._FilterDatabase" localSheetId="4" hidden="1">'Loops &amp; Cursors'!$A$1:$C$2</definedName>
    <definedName name="_xlnm._FilterDatabase" localSheetId="11" hidden="1">'Program-Object Xref'!$A$1:$F$15</definedName>
    <definedName name="_xlnm._FilterDatabase" localSheetId="12" hidden="1">RAW_PROGRAM_OBJECT_XREF!$A$1:$D$16</definedName>
    <definedName name="_xlnm._FilterDatabase" localSheetId="10" hidden="1">'Referenced Objects'!$A$1:$G$6</definedName>
    <definedName name="_xlnm._FilterDatabase" localSheetId="13" hidden="1">'SQL Data Types'!$A$1:$B$9</definedName>
    <definedName name="_xlnm._FilterDatabase" localSheetId="1" hidden="1">'SQL Programs'!$A$1:$L$15</definedName>
    <definedName name="_xlnm._FilterDatabase" localSheetId="2" hidden="1">'SQL Script Categories'!$A$1:$B$18</definedName>
    <definedName name="_xlnm._FilterDatabase" localSheetId="6" hidden="1">'SQL Special Patterns'!$A$1:$E$1</definedName>
    <definedName name="_xlnm._FilterDatabase" localSheetId="3" hidden="1">'UNKNOWN SQL Category'!$A$1:$B$9</definedName>
  </definedNames>
  <calcPr calcId="124519" fullCalcOnLoad="1"/>
</workbook>
</file>

<file path=xl/sharedStrings.xml><?xml version="1.0" encoding="utf-8"?>
<sst xmlns="http://schemas.openxmlformats.org/spreadsheetml/2006/main" count="383" uniqueCount="220">
  <si>
    <t>Run date/time: 2026-01-14 16:08:23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</si>
  <si>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</si>
  <si>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</si>
  <si>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</si>
  <si>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</si>
  <si>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</si>
  <si>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</si>
  <si>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</si>
  <si>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</si>
  <si>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</si>
  <si>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</si>
  <si>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</si>
  <si>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</si>
  <si>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</si>
  <si>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</si>
  <si>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</si>
  <si>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</si>
  <si>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</si>
  <si>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</si>
  <si>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</si>
  <si>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</si>
  <si>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</si>
  <si>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</si>
  <si>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</si>
  <si>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</si>
  <si>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</si>
  <si>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</si>
  <si>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</si>
  <si>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C:/Users/skamalka/Documents/OracleToDB/oracle_sql</t>
  </si>
  <si>
    <t>-e</t>
  </si>
  <si>
    <t>-r</t>
  </si>
  <si>
    <t>C:\Users\skamalka\AppData\Local\Temp\tmpdf8gzt5b\oracle_assessment.xlsx</t>
  </si>
  <si>
    <t>-t</t>
  </si>
  <si>
    <t>SQL</t>
  </si>
  <si>
    <t>Analyzer run duration:</t>
  </si>
  <si>
    <t>0h, 0m, 1s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</si>
  <si>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</si>
  <si>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</si>
  <si>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</si>
  <si>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</si>
  <si>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</si>
  <si>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</si>
  <si>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</si>
  <si>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</si>
  <si>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</si>
  <si>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</si>
  <si>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</si>
  <si>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</si>
  <si>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CTAS.sql</t>
  </si>
  <si>
    <t>C:/Users/skamalka/Documents/OracleToDB/oracle_sql/CTAS.sql</t>
  </si>
  <si>
    <t>YES</t>
  </si>
  <si>
    <t>LOW</t>
  </si>
  <si>
    <t>TABLE_DDL_AS_SELECT</t>
  </si>
  <si>
    <t>Total Statement count: 1, Conventional Statement count: 0, Simple Statement count: 1, Pivot functions: 0, XML functions: 0, Loops: 0, Medium category breaks: 0, High category breaks: 0</t>
  </si>
  <si>
    <t>458C6CFAC97A86511CDAD687A168150F</t>
  </si>
  <si>
    <t>b3fd6d4c4473626b938da4372f15d76f847a83a528a0cf96ae495a88b36a50881774c30a7915130180bab3f2fc8068c13eb55511ff16dfc8a573006214a6e3eab8ef58474c50d2d8</t>
  </si>
  <si>
    <t>Dynamic_SQL.sql</t>
  </si>
  <si>
    <t>C:/Users/skamalka/Documents/OracleToDB/oracle_sql/Dynamic_SQL.sql</t>
  </si>
  <si>
    <t>UNKNOWN,VAR_DECLARE</t>
  </si>
  <si>
    <t>Total Statement count: 4, Conventional Statement count: 2, Simple Statement count: 2, Pivot functions: 0, XML functions: 0, Loops: 0, Medium category breaks: 0, High category breaks: 0</t>
  </si>
  <si>
    <t>2D1A73FA18C0255C75A9726CE2F8E13D</t>
  </si>
  <si>
    <t>0d71a2634e1049d480857604ec2490c5288a3c46bc16107f795c4551508f91b21774c30a7915130180bab3f2fc8068c13eb55511ff16dfc8ee1f02cf914291dfcac82dcf39ba1089eb91626df0d17f9c</t>
  </si>
  <si>
    <t>FLOAD.sql</t>
  </si>
  <si>
    <t>C:/Users/skamalka/Documents/OracleToDB/oracle_sql/FLOAD.sql</t>
  </si>
  <si>
    <t>INSERT_INTO</t>
  </si>
  <si>
    <t>Total Statement count: 2, Conventional Statement count: 0, Simple Statement count: 2, Pivot functions: 0, XML functions: 0, Loops: 0, Medium category breaks: 0, High category breaks: 0</t>
  </si>
  <si>
    <t>F426BA807D5D19A7D4CCE208D777DF93</t>
  </si>
  <si>
    <t>05dac1ab63cb5046f202647a546f8e479085d93b5b6a307362c2f1149f460a2a1774c30a7915130180bab3f2fc8068c13eb55511ff16dfc8ce08c3b3642fdc65d7498eb35771e652</t>
  </si>
  <si>
    <t>Indices.sql</t>
  </si>
  <si>
    <t>C:/Users/skamalka/Documents/OracleToDB/oracle_sql/Indices.sql</t>
  </si>
  <si>
    <t>CREATE_INDEX</t>
  </si>
  <si>
    <t>Total Statement count: 1, Conventional Statement count: 1, Simple Statement count: 0, Pivot functions: 0, XML functions: 0, Loops: 0, Medium category breaks: 0, High category breaks: 0</t>
  </si>
  <si>
    <t>298ADAD69878CFC3A91A8B24B8DB9D34</t>
  </si>
  <si>
    <t>7781b5a1f78908607b720300e9298e69642d6bc60b7e3bf4037c9355bd8491921774c30a7915130180bab3f2fc8068c13eb55511ff16dfc8b88345fd04d7028e7e8c58c7bd597f6f</t>
  </si>
  <si>
    <t>Loops_Cursors.sql</t>
  </si>
  <si>
    <t>C:/Users/skamalka/Documents/OracleToDB/oracle_sql/Loops_Cursors.sql</t>
  </si>
  <si>
    <t>MEDIUM</t>
  </si>
  <si>
    <t>END_LOOP,UNKNOWN,VAR_DECLARE</t>
  </si>
  <si>
    <t>Total Statement count: 6, Conventional Statement count: 4, Simple Statement count: 2, Pivot functions: 0, XML functions: 0, Loops: 1, Medium category breaks: 1, High category breaks: 0</t>
  </si>
  <si>
    <t>AA18910BF1AC13AB25D871E7ADD3BB65</t>
  </si>
  <si>
    <t>74ec5102a3dcd45adb8062eaf0f76258a2d7d53c90b55e2eccb4ad6ae6a3924c21e0d2a97a0c530380bab3f2fc8068c13eb55511ff16dfc86963eefbbb69f8b25219325bbd1cfcd0d7498eb35771e652</t>
  </si>
  <si>
    <t>MLOAD.sql</t>
  </si>
  <si>
    <t>C:/Users/skamalka/Documents/OracleToDB/oracle_sql/MLOAD.sql</t>
  </si>
  <si>
    <t>Total Statement count: 3, Conventional Statement count: 0, Simple Statement count: 3, Pivot functions: 0, XML functions: 0, Loops: 0, Medium category breaks: 0, High category breaks: 0</t>
  </si>
  <si>
    <t>F2EDE9698125CA9C679B0C7D4A11E318</t>
  </si>
  <si>
    <t>349855ef462f855263b57748eedc7b2f66cb0b9c16ddb90be21f408684c592661774c30a7915130180bab3f2fc8068c13eb55511ff16dfc85fb5dfc4fb27c470d7498eb35771e652</t>
  </si>
  <si>
    <t>functions.sql</t>
  </si>
  <si>
    <t>C:/Users/skamalka/Documents/OracleToDB/oracle_sql/functions.sql</t>
  </si>
  <si>
    <t>PROGRAM_DECLARATION,READ_DML_INTO_VAR,RETURN,UNKNOWN</t>
  </si>
  <si>
    <t>Total Statement count: 5, Conventional Statement count: 4, Simple Statement count: 1, Pivot functions: 0, XML functions: 0, Loops: 0, Medium category breaks: 0, High category breaks: 0</t>
  </si>
  <si>
    <t>ACF49EC65B6FC8367A0CCF930FA8BC0C</t>
  </si>
  <si>
    <t>b0d7fbd7f7dc3a87d29bb01a49ed888af8e60de5590feea213ffdbc860d67b451774c30a7915130180bab3f2fc8068c1a7bf90f3d86a967f8403e779296eef90ae0345f8c614a764</t>
  </si>
  <si>
    <t>ETL</t>
  </si>
  <si>
    <t>materialized.sql</t>
  </si>
  <si>
    <t>C:/Users/skamalka/Documents/OracleToDB/oracle_sql/materialized.sql</t>
  </si>
  <si>
    <t>MATERIALIZED_VIEW_DDL</t>
  </si>
  <si>
    <t>8DB6BBF58BD83D830052F6474E01D4D9</t>
  </si>
  <si>
    <t>3ba0f771479ad54b4bedfd62511ccdecdf5bff06263a4b70b4b81de23f3290481774c30a7915130180bab3f2fc8068c13eb55511ff16dfc8367b55f40d5a80a1969505e7fd3df6c0b8ef58474c50d2d8</t>
  </si>
  <si>
    <t>packages.sql</t>
  </si>
  <si>
    <t>C:/Users/skamalka/Documents/OracleToDB/oracle_sql/packages.sql</t>
  </si>
  <si>
    <t>PACKAGE,PROGRAM_DECLARATION,READ_DML_INTO_VAR,RETURN,UNKNOWN</t>
  </si>
  <si>
    <t>Total Statement count: 10, Conventional Statement count: 10, Simple Statement count: 0, Pivot functions: 0, XML functions: 0, Loops: 0, Medium category breaks: 0, High category breaks: 0</t>
  </si>
  <si>
    <t>3CF0689250A1E9A8BDE3C3B536434DB0</t>
  </si>
  <si>
    <t>e290876c308eac495ad14318166d079d6538498e4cd6d17d6320fb3cd64098951774c30a7915130180bab3f2fc8068c1a7bf90f3d86a967f71187a3ef46d4773892ba3474ef500ed</t>
  </si>
  <si>
    <t>procedures.sql</t>
  </si>
  <si>
    <t>C:/Users/skamalka/Documents/OracleToDB/oracle_sql/procedures.sql</t>
  </si>
  <si>
    <t>CREATE_PROCEDURE,UNKNOWN</t>
  </si>
  <si>
    <t>Total Statement count: 2, Conventional Statement count: 1, Simple Statement count: 1, Pivot functions: 0, XML functions: 0, Loops: 0, Medium category breaks: 0, High category breaks: 0</t>
  </si>
  <si>
    <t>606384A778945C6A503B8D80DD8FF2CC</t>
  </si>
  <si>
    <t>9688cdfba4ef200209fb2bfea751461abfa0019dc373315ca1f2a202687e8de71774c30a7915130180bab3f2fc8068c1a7bf90f3d86a967f573414860976b272078bcecabd4d5b8b</t>
  </si>
  <si>
    <t>sample_data.sql</t>
  </si>
  <si>
    <t>C:/Users/skamalka/Documents/OracleToDB/oracle_sql/sample_data.sql</t>
  </si>
  <si>
    <t>COMMIT,INSERT_INTO</t>
  </si>
  <si>
    <t>Total Statement count: 5, Conventional Statement count: 1, Simple Statement count: 4, Pivot functions: 0, XML functions: 0, Loops: 0, Medium category breaks: 0, High category breaks: 0</t>
  </si>
  <si>
    <t>0D57152C005CC50519CE9B6CC260389E</t>
  </si>
  <si>
    <t>a74a46ccbd4141f42a4caea1d5eff3276e151e2af12137b19908bf71d885da331774c30a7915130180bab3f2fc8068c13eb55511ff16dfc822898e171f9adf186f48d6bd7264a127eb91626df0d17f9c</t>
  </si>
  <si>
    <t>tables.sql</t>
  </si>
  <si>
    <t>C:/Users/skamalka/Documents/OracleToDB/oracle_sql/tables.sql</t>
  </si>
  <si>
    <t>TABLE_DDL</t>
  </si>
  <si>
    <t>Total Statement count: 2, Conventional Statement count: 2, Simple Statement count: 0, Pivot functions: 0, XML functions: 0, Loops: 0, Medium category breaks: 0, High category breaks: 0</t>
  </si>
  <si>
    <t>FAF7F08D4AA2360545185E118DB09088</t>
  </si>
  <si>
    <t>511edaa0b9740569da6fed06d1a51285ece34e003fdd81916130ef188974871c1774c30a7915130180bab3f2fc8068c13eb55511ff16dfc88fdf0ba032789b22624898af368f6094</t>
  </si>
  <si>
    <t>triggers.sql</t>
  </si>
  <si>
    <t>C:/Users/skamalka/Documents/OracleToDB/oracle_sql/triggers.sql</t>
  </si>
  <si>
    <t>IF_END,TRIGGER,UNKNOWN</t>
  </si>
  <si>
    <t>Total Statement count: 3, Conventional Statement count: 2, Simple Statement count: 1, Pivot functions: 0, XML functions: 0, Loops: 0, Medium category breaks: 0, High category breaks: 0</t>
  </si>
  <si>
    <t>90BCC38D8F93275F36A91D0C245DB2D0</t>
  </si>
  <si>
    <t>321d018040c19ecd6984d6d5afb109a886ea40137d96c9d871d7c959aef7375c1774c30a7915130180bab3f2fc8068c13eb55511ff16dfc87fff83bb62ff2787f15d0b72252b6cff</t>
  </si>
  <si>
    <t>views.sql</t>
  </si>
  <si>
    <t>C:/Users/skamalka/Documents/OracleToDB/oracle_sql/views.sql</t>
  </si>
  <si>
    <t>CREATE_VIEW</t>
  </si>
  <si>
    <t>24B9CC9E2E13EAD7FBA66B7E180C9700</t>
  </si>
  <si>
    <t>96948903d3283db8686ad5ad4ced909c7f543b056eee9a6884429f0ab7d433091774c30a7915130180bab3f2fc8068c13eb55511ff16dfc8e13dd6841759ff9ad7498eb35771e652</t>
  </si>
  <si>
    <t>SQL Script Categories</t>
  </si>
  <si>
    <t># of Occurrences</t>
  </si>
  <si>
    <t>COMMIT</t>
  </si>
  <si>
    <t>CREATE_PROCEDURE</t>
  </si>
  <si>
    <t>END_LOOP</t>
  </si>
  <si>
    <t>IF_END</t>
  </si>
  <si>
    <t>PACKAGE</t>
  </si>
  <si>
    <t>PROGRAM_DECLARATION</t>
  </si>
  <si>
    <t>READ_DML_INTO_VAR</t>
  </si>
  <si>
    <t>RETURN</t>
  </si>
  <si>
    <t>TRIGGER</t>
  </si>
  <si>
    <t>UNKNOWN</t>
  </si>
  <si>
    <t>VAR_DECLARE</t>
  </si>
  <si>
    <t>SQL unknown category scripts</t>
  </si>
  <si>
    <t>BEGIN     EXECUTE IMMEDIATE 'ALTER TABLE ' || v_table_name || ' ADD (bonus NUMBER(10,2))';</t>
  </si>
  <si>
    <t>BEGIN     FOR rec IN (SELECT emp_id, emp_name FROM employees) LOOP         v_emp_id := rec.emp_id;</t>
  </si>
  <si>
    <t>DBMS_OUTPUT.PUT_LINE('Employee ID: ' || v_emp_id || ', Name: ' || rec.emp_name);</t>
  </si>
  <si>
    <t>END add_employee;</t>
  </si>
  <si>
    <t>END emp_pkg;</t>
  </si>
  <si>
    <t>END total_salary_by_dept;</t>
  </si>
  <si>
    <t>END;</t>
  </si>
  <si>
    <t>EXCEPTION     WHEN NO_DATA_FOUND THEN RETURN NULL;</t>
  </si>
  <si>
    <t>Job Complexity Categorization</t>
  </si>
  <si>
    <t>Procedure or Function</t>
  </si>
  <si>
    <t>HIGH</t>
  </si>
  <si>
    <t>VERY_HIGH</t>
  </si>
  <si>
    <t>Program</t>
  </si>
  <si>
    <t>Line Number</t>
  </si>
  <si>
    <t>Statement</t>
  </si>
  <si>
    <t>FOR rec IN (SELECT emp_id, emp_name FROM employees) LOOP</t>
  </si>
  <si>
    <t>IF :NEW.salary &lt; 0 THEN</t>
  </si>
  <si>
    <t>Name</t>
  </si>
  <si>
    <t>Pattern Type</t>
  </si>
  <si>
    <t>Source Node</t>
  </si>
  <si>
    <t>Target Node</t>
  </si>
  <si>
    <t>Additional Info</t>
  </si>
  <si>
    <t>Function</t>
  </si>
  <si>
    <t># of Calls</t>
  </si>
  <si>
    <t>SUM</t>
  </si>
  <si>
    <t>NUMBER</t>
  </si>
  <si>
    <t>RAISE_APPLICATION_ERROR</t>
  </si>
  <si>
    <t>NVL</t>
  </si>
  <si>
    <t>DEPARTMENTS</t>
  </si>
  <si>
    <t>EMPLOYEES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</si>
  <si>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</si>
  <si>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</si>
  <si>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</si>
  <si>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</si>
  <si>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</si>
  <si>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</si>
  <si>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</si>
  <si>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</si>
  <si>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departments</t>
  </si>
  <si>
    <t>employees</t>
  </si>
  <si>
    <t>employees_backup</t>
  </si>
  <si>
    <t>v_salary</t>
  </si>
  <si>
    <t>v_total</t>
  </si>
  <si>
    <t>READ: 1</t>
  </si>
  <si>
    <t>CREATE: 1</t>
  </si>
  <si>
    <t>CREATE_INDEX: 1</t>
  </si>
  <si>
    <t>WRITE: 1</t>
  </si>
  <si>
    <t>WRITE: 2</t>
  </si>
  <si>
    <t>Object</t>
  </si>
  <si>
    <t>Operation</t>
  </si>
  <si>
    <t>Count</t>
  </si>
  <si>
    <t>DDL DataType</t>
  </si>
  <si>
    <t>:=</t>
  </si>
  <si>
    <t>DATE</t>
  </si>
  <si>
    <t>EMPLOYEES.EMP_ID%TYPE</t>
  </si>
  <si>
    <t>FK_EMP_DEPT FOREIGN KEY</t>
  </si>
  <si>
    <t>IN NUMBER</t>
  </si>
  <si>
    <t>NUMBER PRIMARY KEY</t>
  </si>
  <si>
    <t>VARCHAR2</t>
  </si>
  <si>
    <t>Worksheet Index</t>
  </si>
  <si>
    <t>Summary</t>
  </si>
  <si>
    <t>SQL Programs</t>
  </si>
  <si>
    <t>UNKNOWN SQL Category</t>
  </si>
  <si>
    <t>Loops &amp; Cursors</t>
  </si>
  <si>
    <t>Conditionals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</si>
  <si>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</si>
  <si>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</si>
  <si>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</si>
  <si>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</si>
  <si>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</si>
  <si>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</si>
  <si>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</si>
  <si>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SQL Data Types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</si>
</sst>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cols>
    <col min="1" max="1" width="25.7109375" customWidth="1"/>
    <col min="2" max="2" width="10.7109375" customWidth="1"/>
    <col min="3" max="3" width="20.7109375" customWidth="1"/>
    <col min="4" max="4" width="70.7109375" customWidth="1"/>
    <col min="5" max="5" width="10.7109375" customWidth="1"/>
    <col min="6" max="6" width="40.7109375" customWidth="1"/>
  </cols>
  <sheetData>
    <row r="1" spans="1:6">
      <c r="A1" s="1" t="s">
        <v>0</v>
      </c>
      <c r="B1" s="1"/>
      <c r="D1" s="2" t="s">
        <v>206</v>
      </c>
      <c r="E1" s="2" t="s">
        <v>21</v>
      </c>
      <c r="F1" s="2"/>
    </row>
    <row r="2" spans="1:6">
      <c r="D2" s="3" t="s">
        <v>207</v>
      </c>
      <c r="E2" s="2" t="s">
        <v>22</v>
      </c>
      <c r="F2" s="2"/>
    </row>
    <row r="3" spans="1:6">
      <c r="A3" s="4" t="s">
        <v>1</v>
      </c>
      <c r="B3" s="4"/>
      <c r="D3" s="3" t="s">
        <v>208</v>
      </c>
      <c r="E3" s="2" t="s">
        <v>23</v>
      </c>
      <c r="F3" s="2" t="s">
        <v>24</v>
      </c>
    </row>
    <row r="4" spans="1:6">
      <c r="A4" s="1" t="s">
        <v>2</v>
      </c>
      <c r="B4" s="5">
        <v>14</v>
      </c>
      <c r="D4" s="3" t="s">
        <v>133</v>
      </c>
      <c r="E4" s="2" t="s">
        <v>25</v>
      </c>
      <c r="F4" s="6"/>
    </row>
    <row r="5" spans="1:6">
      <c r="A5" s="1" t="s">
        <v>3</v>
      </c>
      <c r="B5" s="5">
        <v>14</v>
      </c>
      <c r="D5" s="3" t="s">
        <v>209</v>
      </c>
      <c r="E5" s="2" t="s">
        <v>26</v>
      </c>
      <c r="F5" s="6">
        <v>10000000000000</v>
      </c>
    </row>
    <row r="6" spans="1:6">
      <c r="A6" s="1" t="s">
        <v>4</v>
      </c>
      <c r="B6" s="5">
        <v>2</v>
      </c>
      <c r="D6" s="3" t="s">
        <v>210</v>
      </c>
      <c r="E6" s="2" t="s">
        <v>27</v>
      </c>
      <c r="F6" s="6" t="s">
        <v>28</v>
      </c>
    </row>
    <row r="7" spans="1:6">
      <c r="A7" s="1" t="s">
        <v>5</v>
      </c>
      <c r="B7" s="5">
        <v>1</v>
      </c>
      <c r="D7" s="3" t="s">
        <v>211</v>
      </c>
      <c r="E7" s="2" t="s">
        <v>29</v>
      </c>
      <c r="F7" s="6">
        <v>1</v>
      </c>
    </row>
    <row r="8" spans="1:6">
      <c r="A8" s="1" t="s">
        <v>6</v>
      </c>
      <c r="B8" s="5">
        <v>3</v>
      </c>
      <c r="D8" s="3" t="s">
        <v>212</v>
      </c>
      <c r="E8" s="2" t="s">
        <v>30</v>
      </c>
      <c r="F8" s="6" t="s">
        <v>31</v>
      </c>
    </row>
    <row r="9" spans="1:6">
      <c r="A9" s="1" t="s">
        <v>7</v>
      </c>
      <c r="B9" s="5">
        <v>1</v>
      </c>
      <c r="D9" s="3" t="s">
        <v>213</v>
      </c>
      <c r="E9" s="2" t="s">
        <v>32</v>
      </c>
      <c r="F9" s="6" t="s">
        <v>33</v>
      </c>
    </row>
    <row r="10" spans="1:6">
      <c r="A10" s="1" t="s">
        <v>8</v>
      </c>
      <c r="B10" s="5">
        <v>1</v>
      </c>
      <c r="D10" s="3" t="s">
        <v>214</v>
      </c>
      <c r="E10" s="2" t="s">
        <v>34</v>
      </c>
    </row>
    <row r="11" spans="1:6">
      <c r="A11" s="1" t="s">
        <v>9</v>
      </c>
      <c r="B11" s="5">
        <v>1</v>
      </c>
      <c r="D11" s="3" t="s">
        <v>215</v>
      </c>
      <c r="E11" s="6" t="s">
        <v>35</v>
      </c>
    </row>
    <row r="12" spans="1:6">
      <c r="A12" s="1" t="s">
        <v>10</v>
      </c>
      <c r="B12" s="5">
        <v>1</v>
      </c>
      <c r="D12" s="3" t="s">
        <v>216</v>
      </c>
    </row>
    <row r="13" spans="1:6">
      <c r="A13" s="1" t="s">
        <v>11</v>
      </c>
      <c r="B13" s="5">
        <v>2</v>
      </c>
      <c r="D13" s="3" t="s">
        <v>217</v>
      </c>
    </row>
    <row r="14" spans="1:6">
      <c r="A14" s="1" t="s">
        <v>12</v>
      </c>
      <c r="B14" s="5">
        <v>2</v>
      </c>
      <c r="D14" s="3" t="s">
        <v>218</v>
      </c>
    </row>
    <row r="15" spans="1:6">
      <c r="A15" s="1" t="s">
        <v>13</v>
      </c>
      <c r="B15" s="5">
        <v>1</v>
      </c>
      <c r="D15" s="3" t="s">
        <v>219</v>
      </c>
    </row>
    <row r="16" spans="1:6">
      <c r="A16" s="1" t="s">
        <v>14</v>
      </c>
      <c r="B16" s="5">
        <v>0</v>
      </c>
    </row>
    <row r="17" spans="1:3">
      <c r="A17" s="1" t="s">
        <v>15</v>
      </c>
      <c r="B17" s="5">
        <v>1</v>
      </c>
    </row>
    <row r="18" spans="1:3">
      <c r="A18" s="1" t="s">
        <v>16</v>
      </c>
      <c r="B18" s="5">
        <v>1</v>
      </c>
    </row>
    <row r="19" spans="1:3">
      <c r="A19" s="1" t="s">
        <v>17</v>
      </c>
      <c r="B19" s="5">
        <v>0</v>
      </c>
    </row>
    <row r="20" spans="1:3">
      <c r="A20" s="1" t="s">
        <v>18</v>
      </c>
      <c r="B20" s="5">
        <v>0</v>
      </c>
    </row>
    <row r="21" spans="1:3">
      <c r="A21" s="1" t="s">
        <v>19</v>
      </c>
      <c r="B21" s="5">
        <v>107</v>
      </c>
    </row>
    <row r="22" spans="1:3">
      <c r="A22" s="1" t="s">
        <v>20</v>
      </c>
      <c r="B22" s="5">
        <v>0</v>
      </c>
    </row>
    <row r="24" spans="1:3">
      <c r="A24" s="4" t="s">
        <v>33</v>
      </c>
      <c r="B24" s="4"/>
      <c r="C24" s="4" t="s">
        <v>92</v>
      </c>
    </row>
    <row r="25" spans="1:3">
      <c r="A25" s="4" t="s">
        <v>155</v>
      </c>
      <c r="B25" s="4"/>
      <c r="C25" s="4" t="s">
        <v>156</v>
      </c>
    </row>
    <row r="26" spans="1:3">
      <c r="A26" s="1" t="s">
        <v>51</v>
      </c>
      <c r="B26" s="5">
        <f>COUNTIFS('SQL Programs'!E:E,"LOW",'SQL Programs'!C:C,"YES",'SQL Programs'!L:L,"SQL")</f>
        <v>0</v>
      </c>
      <c r="C26" s="5">
        <f>SUMIFS('SQL Programs'!G:G,'SQL Programs'!E:E,"LOW",'SQL Programs'!C:C,"YES",'SQL Programs'!L:L,"ETL")</f>
        <v>0</v>
      </c>
    </row>
    <row r="27" spans="1:3">
      <c r="A27" s="1" t="s">
        <v>76</v>
      </c>
      <c r="B27" s="5">
        <f>COUNTIFS('SQL Programs'!E:E,"MEDIUM",'SQL Programs'!C:C,"YES",'SQL Programs'!L:L,"SQL")</f>
        <v>0</v>
      </c>
      <c r="C27" s="5">
        <f>SUMIFS('SQL Programs'!G:G,'SQL Programs'!E:E,"MEDIUM",'SQL Programs'!C:C,"YES",'SQL Programs'!L:L,"ETL")</f>
        <v>0</v>
      </c>
    </row>
    <row r="28" spans="1:3">
      <c r="A28" s="1" t="s">
        <v>157</v>
      </c>
      <c r="B28" s="5">
        <f>COUNTIFS('SQL Programs'!E:E,"HIGH",'SQL Programs'!C:C,"YES",'SQL Programs'!L:L,"SQL")</f>
        <v>0</v>
      </c>
      <c r="C28" s="5">
        <f>SUMIFS('SQL Programs'!G:G,'SQL Programs'!E:E,"HIGH",'SQL Programs'!C:C,"YES",'SQL Programs'!L:L,"ETL")</f>
        <v>0</v>
      </c>
    </row>
    <row r="29" spans="1:3">
      <c r="A29" s="1" t="s">
        <v>158</v>
      </c>
      <c r="B29" s="5">
        <f>COUNTIFS('SQL Programs'!E:E,"VERY_HIGH",'SQL Programs'!C:C,"YES",'SQL Programs'!L:L,"SQL")</f>
        <v>0</v>
      </c>
      <c r="C29" s="5">
        <f>SUMIFS('SQL Programs'!G:G,'SQL Programs'!E:E,"VERY_HIGH",'SQL Programs'!C:C,"YES",'SQL Programs'!L:L,"ETL")</f>
        <v>0</v>
      </c>
    </row>
  </sheetData>
  <mergeCells count="6">
    <mergeCell ref="A1:B1"/>
    <mergeCell ref="A3:B3"/>
    <mergeCell ref="E1:F1"/>
    <mergeCell ref="E2:F2"/>
    <mergeCell ref="A24:B24"/>
    <mergeCell ref="A25:B25"/>
  </mergeCells>
  <hyperlinks>
    <hyperlink ref="D2" location="'Summary'!A1" display="Summary"/>
    <hyperlink ref="D3" location="'SQL Programs'!A1" display="SQL Programs"/>
    <hyperlink ref="D4" location="'SQL Script Categories'!A1" display="SQL Script Categories"/>
    <hyperlink ref="D5" location="'UNKNOWN SQL Category'!A1" display="UNKNOWN SQL Category"/>
    <hyperlink ref="D6" location="'Loops &amp; Cursors'!A1" display="Loops &amp; Cursors"/>
    <hyperlink ref="D7" location="'Conditionals'!A1" display="Conditionals"/>
    <hyperlink ref="D8" location="'SQL Special Patterns'!A1" display="SQL Special Patterns"/>
    <hyperlink ref="D9" location="'Functions'!A1" display="Functions"/>
    <hyperlink ref="D10" location="'Functions by Script'!A1" display="Functions by Script"/>
    <hyperlink ref="D11" location="'Scripts Functions Xref'!A1" display="Scripts Functions Xref"/>
    <hyperlink ref="D12" location="'Referenced Objects'!A1" display="Referenced Objects"/>
    <hyperlink ref="D13" location="'Program-Object Xref'!A1" display="Program-Object Xref"/>
    <hyperlink ref="D14" location="'RAW_PROGRAM_OBJECT_XREF'!A1" display="RAW_PROGRAM_OBJECT_XREF"/>
    <hyperlink ref="D15" location="'SQL Data Types'!A1" display="SQL Data Typ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  <col min="3" max="4" width="10.7109375" customWidth="1"/>
    <col min="5" max="6" width="15.7109375" customWidth="1"/>
    <col min="7" max="7" width="25.7109375" customWidth="1"/>
    <col min="8" max="8" width="30.7109375" customWidth="1"/>
    <col min="9" max="11" width="100.7109375" customWidth="1"/>
    <col min="12" max="12" width="30.7109375" customWidth="1"/>
  </cols>
  <sheetData>
    <row r="1" spans="1:1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>
      <c r="A2" s="6" t="s">
        <v>48</v>
      </c>
      <c r="B2" s="6" t="s">
        <v>49</v>
      </c>
      <c r="C2" s="6" t="s">
        <v>50</v>
      </c>
      <c r="D2" s="6">
        <v>5</v>
      </c>
      <c r="E2" s="6" t="s">
        <v>51</v>
      </c>
      <c r="F2" s="6">
        <v>1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>
      <c r="A3" s="6" t="s">
        <v>56</v>
      </c>
      <c r="B3" s="6" t="s">
        <v>57</v>
      </c>
      <c r="C3" s="6" t="s">
        <v>50</v>
      </c>
      <c r="D3" s="6">
        <v>7</v>
      </c>
      <c r="E3" s="6" t="s">
        <v>51</v>
      </c>
      <c r="F3" s="6">
        <v>4</v>
      </c>
      <c r="G3" s="6">
        <v>0</v>
      </c>
      <c r="H3" s="6" t="s">
        <v>58</v>
      </c>
      <c r="I3" s="6" t="s">
        <v>59</v>
      </c>
      <c r="J3" s="6" t="s">
        <v>60</v>
      </c>
      <c r="K3" s="6" t="s">
        <v>61</v>
      </c>
      <c r="L3" s="6" t="s">
        <v>33</v>
      </c>
    </row>
    <row r="4" spans="1:12">
      <c r="A4" s="6" t="s">
        <v>62</v>
      </c>
      <c r="B4" s="6" t="s">
        <v>63</v>
      </c>
      <c r="C4" s="6" t="s">
        <v>50</v>
      </c>
      <c r="D4" s="6">
        <v>3</v>
      </c>
      <c r="E4" s="6" t="s">
        <v>51</v>
      </c>
      <c r="F4" s="6">
        <v>2</v>
      </c>
      <c r="G4" s="6">
        <v>0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33</v>
      </c>
    </row>
    <row r="5" spans="1:12">
      <c r="A5" s="6" t="s">
        <v>68</v>
      </c>
      <c r="B5" s="6" t="s">
        <v>69</v>
      </c>
      <c r="C5" s="6" t="s">
        <v>50</v>
      </c>
      <c r="D5" s="6">
        <v>2</v>
      </c>
      <c r="E5" s="6" t="s">
        <v>51</v>
      </c>
      <c r="F5" s="6">
        <v>1</v>
      </c>
      <c r="G5" s="6">
        <v>0</v>
      </c>
      <c r="H5" s="6" t="s">
        <v>70</v>
      </c>
      <c r="I5" s="6" t="s">
        <v>71</v>
      </c>
      <c r="J5" s="6" t="s">
        <v>72</v>
      </c>
      <c r="K5" s="6" t="s">
        <v>73</v>
      </c>
      <c r="L5" s="6" t="s">
        <v>33</v>
      </c>
    </row>
    <row r="6" spans="1:12">
      <c r="A6" s="6" t="s">
        <v>74</v>
      </c>
      <c r="B6" s="6" t="s">
        <v>75</v>
      </c>
      <c r="C6" s="6" t="s">
        <v>50</v>
      </c>
      <c r="D6" s="6">
        <v>10</v>
      </c>
      <c r="E6" s="6" t="s">
        <v>76</v>
      </c>
      <c r="F6" s="6">
        <v>6</v>
      </c>
      <c r="G6" s="6">
        <v>0</v>
      </c>
      <c r="H6" s="6" t="s">
        <v>77</v>
      </c>
      <c r="I6" s="6" t="s">
        <v>78</v>
      </c>
      <c r="J6" s="6" t="s">
        <v>79</v>
      </c>
      <c r="K6" s="6" t="s">
        <v>80</v>
      </c>
      <c r="L6" s="6" t="s">
        <v>33</v>
      </c>
    </row>
    <row r="7" spans="1:12">
      <c r="A7" s="6" t="s">
        <v>81</v>
      </c>
      <c r="B7" s="6" t="s">
        <v>82</v>
      </c>
      <c r="C7" s="6" t="s">
        <v>50</v>
      </c>
      <c r="D7" s="6">
        <v>4</v>
      </c>
      <c r="E7" s="6" t="s">
        <v>51</v>
      </c>
      <c r="F7" s="6">
        <v>3</v>
      </c>
      <c r="G7" s="6">
        <v>0</v>
      </c>
      <c r="H7" s="6" t="s">
        <v>64</v>
      </c>
      <c r="I7" s="6" t="s">
        <v>83</v>
      </c>
      <c r="J7" s="6" t="s">
        <v>84</v>
      </c>
      <c r="K7" s="6" t="s">
        <v>85</v>
      </c>
      <c r="L7" s="6" t="s">
        <v>33</v>
      </c>
    </row>
    <row r="8" spans="1:12">
      <c r="A8" s="6" t="s">
        <v>86</v>
      </c>
      <c r="B8" s="6" t="s">
        <v>87</v>
      </c>
      <c r="C8" s="6" t="s">
        <v>50</v>
      </c>
      <c r="D8" s="6">
        <v>11</v>
      </c>
      <c r="E8" s="6" t="s">
        <v>51</v>
      </c>
      <c r="F8" s="6">
        <v>5</v>
      </c>
      <c r="G8" s="6">
        <v>1</v>
      </c>
      <c r="H8" s="6" t="s">
        <v>88</v>
      </c>
      <c r="I8" s="6" t="s">
        <v>89</v>
      </c>
      <c r="J8" s="6" t="s">
        <v>90</v>
      </c>
      <c r="K8" s="6" t="s">
        <v>91</v>
      </c>
      <c r="L8" s="6" t="s">
        <v>92</v>
      </c>
    </row>
    <row r="9" spans="1:12">
      <c r="A9" s="6" t="s">
        <v>93</v>
      </c>
      <c r="B9" s="6" t="s">
        <v>94</v>
      </c>
      <c r="C9" s="6" t="s">
        <v>50</v>
      </c>
      <c r="D9" s="6">
        <v>5</v>
      </c>
      <c r="E9" s="6" t="s">
        <v>51</v>
      </c>
      <c r="F9" s="6">
        <v>1</v>
      </c>
      <c r="G9" s="6">
        <v>0</v>
      </c>
      <c r="H9" s="6" t="s">
        <v>95</v>
      </c>
      <c r="I9" s="6" t="s">
        <v>71</v>
      </c>
      <c r="J9" s="6" t="s">
        <v>96</v>
      </c>
      <c r="K9" s="6" t="s">
        <v>97</v>
      </c>
      <c r="L9" s="6" t="s">
        <v>33</v>
      </c>
    </row>
    <row r="10" spans="1:12">
      <c r="A10" s="6" t="s">
        <v>98</v>
      </c>
      <c r="B10" s="6" t="s">
        <v>99</v>
      </c>
      <c r="C10" s="6" t="s">
        <v>50</v>
      </c>
      <c r="D10" s="6">
        <v>18</v>
      </c>
      <c r="E10" s="6" t="s">
        <v>51</v>
      </c>
      <c r="F10" s="6">
        <v>10</v>
      </c>
      <c r="G10" s="6">
        <v>2</v>
      </c>
      <c r="H10" s="6" t="s">
        <v>100</v>
      </c>
      <c r="I10" s="6" t="s">
        <v>101</v>
      </c>
      <c r="J10" s="6" t="s">
        <v>102</v>
      </c>
      <c r="K10" s="6" t="s">
        <v>103</v>
      </c>
      <c r="L10" s="6" t="s">
        <v>92</v>
      </c>
    </row>
    <row r="11" spans="1:12">
      <c r="A11" s="6" t="s">
        <v>104</v>
      </c>
      <c r="B11" s="6" t="s">
        <v>105</v>
      </c>
      <c r="C11" s="6" t="s">
        <v>50</v>
      </c>
      <c r="D11" s="6">
        <v>9</v>
      </c>
      <c r="E11" s="6" t="s">
        <v>51</v>
      </c>
      <c r="F11" s="6">
        <v>2</v>
      </c>
      <c r="G11" s="6">
        <v>1</v>
      </c>
      <c r="H11" s="6" t="s">
        <v>106</v>
      </c>
      <c r="I11" s="6" t="s">
        <v>107</v>
      </c>
      <c r="J11" s="6" t="s">
        <v>108</v>
      </c>
      <c r="K11" s="6" t="s">
        <v>109</v>
      </c>
      <c r="L11" s="6" t="s">
        <v>92</v>
      </c>
    </row>
    <row r="12" spans="1:12">
      <c r="A12" s="6" t="s">
        <v>110</v>
      </c>
      <c r="B12" s="6" t="s">
        <v>111</v>
      </c>
      <c r="C12" s="6" t="s">
        <v>50</v>
      </c>
      <c r="D12" s="6">
        <v>7</v>
      </c>
      <c r="E12" s="6" t="s">
        <v>51</v>
      </c>
      <c r="F12" s="6">
        <v>5</v>
      </c>
      <c r="G12" s="6">
        <v>0</v>
      </c>
      <c r="H12" s="6" t="s">
        <v>112</v>
      </c>
      <c r="I12" s="6" t="s">
        <v>113</v>
      </c>
      <c r="J12" s="6" t="s">
        <v>114</v>
      </c>
      <c r="K12" s="6" t="s">
        <v>115</v>
      </c>
      <c r="L12" s="6" t="s">
        <v>33</v>
      </c>
    </row>
    <row r="13" spans="1:12">
      <c r="A13" s="6" t="s">
        <v>116</v>
      </c>
      <c r="B13" s="6" t="s">
        <v>117</v>
      </c>
      <c r="C13" s="6" t="s">
        <v>50</v>
      </c>
      <c r="D13" s="6">
        <v>14</v>
      </c>
      <c r="E13" s="6" t="s">
        <v>51</v>
      </c>
      <c r="F13" s="6">
        <v>2</v>
      </c>
      <c r="G13" s="6">
        <v>0</v>
      </c>
      <c r="H13" s="6" t="s">
        <v>118</v>
      </c>
      <c r="I13" s="6" t="s">
        <v>119</v>
      </c>
      <c r="J13" s="6" t="s">
        <v>120</v>
      </c>
      <c r="K13" s="6" t="s">
        <v>121</v>
      </c>
      <c r="L13" s="6" t="s">
        <v>33</v>
      </c>
    </row>
    <row r="14" spans="1:12">
      <c r="A14" s="6" t="s">
        <v>122</v>
      </c>
      <c r="B14" s="6" t="s">
        <v>123</v>
      </c>
      <c r="C14" s="6" t="s">
        <v>50</v>
      </c>
      <c r="D14" s="6">
        <v>8</v>
      </c>
      <c r="E14" s="6" t="s">
        <v>51</v>
      </c>
      <c r="F14" s="6">
        <v>3</v>
      </c>
      <c r="G14" s="6">
        <v>0</v>
      </c>
      <c r="H14" s="6" t="s">
        <v>124</v>
      </c>
      <c r="I14" s="6" t="s">
        <v>125</v>
      </c>
      <c r="J14" s="6" t="s">
        <v>126</v>
      </c>
      <c r="K14" s="6" t="s">
        <v>127</v>
      </c>
      <c r="L14" s="6" t="s">
        <v>33</v>
      </c>
    </row>
    <row r="15" spans="1:12">
      <c r="A15" s="6" t="s">
        <v>128</v>
      </c>
      <c r="B15" s="6" t="s">
        <v>129</v>
      </c>
      <c r="C15" s="6" t="s">
        <v>50</v>
      </c>
      <c r="D15" s="6">
        <v>4</v>
      </c>
      <c r="E15" s="6" t="s">
        <v>51</v>
      </c>
      <c r="F15" s="6">
        <v>1</v>
      </c>
      <c r="G15" s="6">
        <v>0</v>
      </c>
      <c r="H15" s="6" t="s">
        <v>130</v>
      </c>
      <c r="I15" s="6" t="s">
        <v>71</v>
      </c>
      <c r="J15" s="6" t="s">
        <v>131</v>
      </c>
      <c r="K15" s="6" t="s">
        <v>132</v>
      </c>
      <c r="L15" s="6" t="s">
        <v>33</v>
      </c>
    </row>
  </sheetData>
  <autoFilter ref="A1:L15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133</v>
      </c>
      <c r="B1" s="2" t="s">
        <v>134</v>
      </c>
    </row>
    <row r="2" spans="1:2">
      <c r="A2" s="6" t="s">
        <v>135</v>
      </c>
      <c r="B2" s="6">
        <v>1</v>
      </c>
    </row>
    <row r="3" spans="1:2">
      <c r="A3" s="6" t="s">
        <v>70</v>
      </c>
      <c r="B3" s="6">
        <v>1</v>
      </c>
    </row>
    <row r="4" spans="1:2">
      <c r="A4" s="6" t="s">
        <v>136</v>
      </c>
      <c r="B4" s="6">
        <v>1</v>
      </c>
    </row>
    <row r="5" spans="1:2">
      <c r="A5" s="6" t="s">
        <v>130</v>
      </c>
      <c r="B5" s="6">
        <v>1</v>
      </c>
    </row>
    <row r="6" spans="1:2">
      <c r="A6" s="6" t="s">
        <v>137</v>
      </c>
      <c r="B6" s="6">
        <v>1</v>
      </c>
    </row>
    <row r="7" spans="1:2">
      <c r="A7" s="6" t="s">
        <v>138</v>
      </c>
      <c r="B7" s="6">
        <v>1</v>
      </c>
    </row>
    <row r="8" spans="1:2">
      <c r="A8" s="6" t="s">
        <v>64</v>
      </c>
      <c r="B8" s="6">
        <v>9</v>
      </c>
    </row>
    <row r="9" spans="1:2">
      <c r="A9" s="6" t="s">
        <v>95</v>
      </c>
      <c r="B9" s="6">
        <v>1</v>
      </c>
    </row>
    <row r="10" spans="1:2">
      <c r="A10" s="6" t="s">
        <v>139</v>
      </c>
      <c r="B10" s="6">
        <v>2</v>
      </c>
    </row>
    <row r="11" spans="1:2">
      <c r="A11" s="6" t="s">
        <v>140</v>
      </c>
      <c r="B11" s="6">
        <v>3</v>
      </c>
    </row>
    <row r="12" spans="1:2">
      <c r="A12" s="6" t="s">
        <v>141</v>
      </c>
      <c r="B12" s="6">
        <v>2</v>
      </c>
    </row>
    <row r="13" spans="1:2">
      <c r="A13" s="6" t="s">
        <v>142</v>
      </c>
      <c r="B13" s="6">
        <v>2</v>
      </c>
    </row>
    <row r="14" spans="1:2">
      <c r="A14" s="6" t="s">
        <v>118</v>
      </c>
      <c r="B14" s="6">
        <v>2</v>
      </c>
    </row>
    <row r="15" spans="1:2">
      <c r="A15" s="6" t="s">
        <v>52</v>
      </c>
      <c r="B15" s="6">
        <v>1</v>
      </c>
    </row>
    <row r="16" spans="1:2">
      <c r="A16" s="6" t="s">
        <v>143</v>
      </c>
      <c r="B16" s="6">
        <v>1</v>
      </c>
    </row>
    <row r="17" spans="1:2">
      <c r="A17" s="6" t="s">
        <v>144</v>
      </c>
      <c r="B17" s="6">
        <v>13</v>
      </c>
    </row>
    <row r="18" spans="1:2">
      <c r="A18" s="6" t="s">
        <v>145</v>
      </c>
      <c r="B18" s="6">
        <v>2</v>
      </c>
    </row>
  </sheetData>
  <autoFilter ref="A1:B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00.7109375" customWidth="1"/>
    <col min="2" max="2" width="30.7109375" customWidth="1"/>
  </cols>
  <sheetData>
    <row r="1" spans="1:2">
      <c r="A1" s="2" t="s">
        <v>146</v>
      </c>
      <c r="B1" s="2" t="s">
        <v>134</v>
      </c>
    </row>
    <row r="2" spans="1:2">
      <c r="A2" s="6" t="s">
        <v>147</v>
      </c>
      <c r="B2" s="6">
        <v>1</v>
      </c>
    </row>
    <row r="3" spans="1:2">
      <c r="A3" s="6" t="s">
        <v>148</v>
      </c>
      <c r="B3" s="6">
        <v>1</v>
      </c>
    </row>
    <row r="4" spans="1:2">
      <c r="A4" s="6" t="s">
        <v>149</v>
      </c>
      <c r="B4" s="6">
        <v>1</v>
      </c>
    </row>
    <row r="5" spans="1:2">
      <c r="A5" s="6" t="s">
        <v>150</v>
      </c>
      <c r="B5" s="6">
        <v>1</v>
      </c>
    </row>
    <row r="6" spans="1:2">
      <c r="A6" s="6" t="s">
        <v>151</v>
      </c>
      <c r="B6" s="6">
        <v>2</v>
      </c>
    </row>
    <row r="7" spans="1:2">
      <c r="A7" s="6" t="s">
        <v>152</v>
      </c>
      <c r="B7" s="6">
        <v>1</v>
      </c>
    </row>
    <row r="8" spans="1:2">
      <c r="A8" s="6" t="s">
        <v>153</v>
      </c>
      <c r="B8" s="6">
        <v>5</v>
      </c>
    </row>
    <row r="9" spans="1:2">
      <c r="A9" s="6" t="s">
        <v>154</v>
      </c>
      <c r="B9" s="6">
        <v>1</v>
      </c>
    </row>
  </sheetData>
  <autoFilter ref="A1:B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30.7109375" customWidth="1"/>
    <col min="2" max="2" width="15.7109375" customWidth="1"/>
    <col min="3" max="3" width="100.7109375" customWidth="1"/>
  </cols>
  <sheetData>
    <row r="1" spans="1:3">
      <c r="A1" s="2" t="s">
        <v>159</v>
      </c>
      <c r="B1" s="2" t="s">
        <v>160</v>
      </c>
      <c r="C1" s="2" t="s">
        <v>161</v>
      </c>
    </row>
    <row r="2" spans="1:3">
      <c r="A2" s="6" t="s">
        <v>75</v>
      </c>
      <c r="B2" s="6">
        <v>4</v>
      </c>
      <c r="C2" s="6" t="s">
        <v>162</v>
      </c>
    </row>
  </sheetData>
  <autoFilter ref="A1:C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30.7109375" customWidth="1"/>
    <col min="2" max="2" width="15.7109375" customWidth="1"/>
    <col min="3" max="3" width="100.7109375" customWidth="1"/>
  </cols>
  <sheetData>
    <row r="1" spans="1:3">
      <c r="A1" s="2" t="s">
        <v>159</v>
      </c>
      <c r="B1" s="2" t="s">
        <v>160</v>
      </c>
      <c r="C1" s="2" t="s">
        <v>161</v>
      </c>
    </row>
    <row r="2" spans="1:3">
      <c r="A2" s="6" t="s">
        <v>123</v>
      </c>
      <c r="B2" s="6">
        <v>5</v>
      </c>
      <c r="C2" s="6" t="s">
        <v>163</v>
      </c>
    </row>
  </sheetData>
  <autoFilter ref="A1:C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50.7109375" customWidth="1"/>
    <col min="2" max="2" width="20.7109375" customWidth="1"/>
    <col min="3" max="4" width="30.7109375" customWidth="1"/>
    <col min="5" max="5" width="20.7109375" customWidth="1"/>
  </cols>
  <sheetData>
    <row r="1" spans="1:5">
      <c r="A1" s="2" t="s">
        <v>164</v>
      </c>
      <c r="B1" s="2" t="s">
        <v>165</v>
      </c>
      <c r="C1" s="2" t="s">
        <v>166</v>
      </c>
      <c r="D1" s="2" t="s">
        <v>167</v>
      </c>
      <c r="E1" s="2" t="s">
        <v>168</v>
      </c>
    </row>
  </sheetData>
  <autoFilter ref="A1:E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15.7109375" customWidth="1"/>
  </cols>
  <sheetData>
    <row r="1" spans="1:2">
      <c r="A1" s="2" t="s">
        <v>169</v>
      </c>
      <c r="B1" s="2" t="s">
        <v>170</v>
      </c>
    </row>
    <row r="2" spans="1:2">
      <c r="A2" s="6" t="s">
        <v>171</v>
      </c>
      <c r="B2" s="6">
        <v>2</v>
      </c>
    </row>
    <row r="3" spans="1:2">
      <c r="A3" s="6" t="s">
        <v>172</v>
      </c>
      <c r="B3" s="6">
        <v>1</v>
      </c>
    </row>
    <row r="4" spans="1:2">
      <c r="A4" s="6" t="s">
        <v>173</v>
      </c>
      <c r="B4" s="6">
        <v>1</v>
      </c>
    </row>
    <row r="5" spans="1:2">
      <c r="A5" s="6" t="s">
        <v>174</v>
      </c>
      <c r="B5" s="6">
        <v>1</v>
      </c>
    </row>
    <row r="6" spans="1:2">
      <c r="A6" s="6" t="s">
        <v>175</v>
      </c>
      <c r="B6" s="6">
        <v>1</v>
      </c>
    </row>
    <row r="7" spans="1:2">
      <c r="A7" s="6" t="s">
        <v>176</v>
      </c>
      <c r="B7" s="6">
        <v>1</v>
      </c>
    </row>
  </sheetData>
  <autoFilter ref="A1:B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70.7109375" customWidth="1"/>
    <col min="2" max="2" width="40.7109375" customWidth="1"/>
    <col min="3" max="3" width="10.7109375" customWidth="1"/>
  </cols>
  <sheetData>
    <row r="1" spans="1:3">
      <c r="A1" s="2" t="s">
        <v>177</v>
      </c>
      <c r="B1" s="2" t="s">
        <v>169</v>
      </c>
      <c r="C1" s="2" t="s">
        <v>170</v>
      </c>
    </row>
    <row r="2" spans="1:3">
      <c r="A2" s="6" t="s">
        <v>94</v>
      </c>
      <c r="B2" s="6" t="s">
        <v>171</v>
      </c>
      <c r="C2" s="6">
        <v>1</v>
      </c>
    </row>
    <row r="3" spans="1:3">
      <c r="A3" s="6" t="s">
        <v>117</v>
      </c>
      <c r="B3" s="6" t="s">
        <v>175</v>
      </c>
      <c r="C3" s="6">
        <v>1</v>
      </c>
    </row>
    <row r="4" spans="1:3">
      <c r="A4" s="6" t="s">
        <v>117</v>
      </c>
      <c r="B4" s="6" t="s">
        <v>172</v>
      </c>
      <c r="C4" s="6">
        <v>1</v>
      </c>
    </row>
    <row r="5" spans="1:3">
      <c r="A5" s="6" t="s">
        <v>123</v>
      </c>
      <c r="B5" s="6" t="s">
        <v>173</v>
      </c>
      <c r="C5" s="6">
        <v>1</v>
      </c>
    </row>
    <row r="6" spans="1:3">
      <c r="A6" s="6" t="s">
        <v>69</v>
      </c>
      <c r="B6" s="6" t="s">
        <v>176</v>
      </c>
      <c r="C6" s="6">
        <v>1</v>
      </c>
    </row>
    <row r="7" spans="1:3">
      <c r="A7" s="6" t="s">
        <v>99</v>
      </c>
      <c r="B7" s="6" t="s">
        <v>174</v>
      </c>
      <c r="C7" s="6">
        <v>1</v>
      </c>
    </row>
    <row r="8" spans="1:3">
      <c r="A8" s="6" t="s">
        <v>99</v>
      </c>
      <c r="B8" s="6" t="s">
        <v>171</v>
      </c>
      <c r="C8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80.7109375" customWidth="1"/>
    <col min="2" max="7" width="15.7109375" customWidth="1"/>
  </cols>
  <sheetData>
    <row r="1" spans="1:7">
      <c r="A1" s="2" t="s">
        <v>177</v>
      </c>
      <c r="B1" s="7" t="s">
        <v>171</v>
      </c>
      <c r="C1" s="7" t="s">
        <v>172</v>
      </c>
      <c r="D1" s="7" t="s">
        <v>173</v>
      </c>
      <c r="E1" s="7" t="s">
        <v>174</v>
      </c>
      <c r="F1" s="7" t="s">
        <v>175</v>
      </c>
      <c r="G1" s="7" t="s">
        <v>176</v>
      </c>
    </row>
    <row r="2" spans="1:7">
      <c r="A2" s="6" t="s">
        <v>94</v>
      </c>
      <c r="B2" s="6">
        <v>1</v>
      </c>
    </row>
    <row r="3" spans="1:7">
      <c r="A3" s="6" t="s">
        <v>117</v>
      </c>
      <c r="C3" s="6">
        <v>1</v>
      </c>
      <c r="F3" s="6">
        <v>1</v>
      </c>
    </row>
    <row r="4" spans="1:7">
      <c r="A4" s="6" t="s">
        <v>123</v>
      </c>
      <c r="D4" s="6">
        <v>1</v>
      </c>
    </row>
    <row r="5" spans="1:7">
      <c r="A5" s="6" t="s">
        <v>69</v>
      </c>
      <c r="G5" s="6">
        <v>1</v>
      </c>
    </row>
    <row r="6" spans="1:7">
      <c r="A6" s="6" t="s">
        <v>99</v>
      </c>
      <c r="B6" s="6">
        <v>1</v>
      </c>
      <c r="E6" s="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7" width="10.7109375" customWidth="1"/>
  </cols>
  <sheetData>
    <row r="1" spans="1:7">
      <c r="A1" s="7" t="s">
        <v>178</v>
      </c>
      <c r="B1" s="7" t="s">
        <v>179</v>
      </c>
      <c r="C1" s="7" t="s">
        <v>180</v>
      </c>
      <c r="D1" s="7" t="s">
        <v>181</v>
      </c>
      <c r="E1" s="7" t="s">
        <v>182</v>
      </c>
      <c r="F1" s="7" t="s">
        <v>183</v>
      </c>
      <c r="G1" s="7" t="s">
        <v>184</v>
      </c>
    </row>
    <row r="2" spans="1:7">
      <c r="A2" s="6" t="s">
        <v>185</v>
      </c>
      <c r="B2" s="8">
        <v>1</v>
      </c>
      <c r="C2" s="8">
        <v>1</v>
      </c>
      <c r="D2" s="8">
        <v>2</v>
      </c>
    </row>
    <row r="3" spans="1:7">
      <c r="A3" s="6" t="s">
        <v>186</v>
      </c>
      <c r="B3" s="8">
        <v>1</v>
      </c>
      <c r="C3" s="8">
        <v>5</v>
      </c>
      <c r="D3" s="8">
        <v>3</v>
      </c>
    </row>
    <row r="4" spans="1:7">
      <c r="A4" s="6" t="s">
        <v>187</v>
      </c>
      <c r="B4" s="8">
        <v>1</v>
      </c>
    </row>
    <row r="5" spans="1:7">
      <c r="A5" s="6" t="s">
        <v>188</v>
      </c>
      <c r="D5" s="8">
        <v>1</v>
      </c>
    </row>
    <row r="6" spans="1:7">
      <c r="A6" s="6" t="s">
        <v>189</v>
      </c>
      <c r="D6" s="8">
        <v>1</v>
      </c>
    </row>
  </sheetData>
  <autoFilter ref="A1:G6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6" width="30.7109375" customWidth="1"/>
  </cols>
  <sheetData>
    <row r="1" spans="1:6">
      <c r="B1" s="7" t="s">
        <v>185</v>
      </c>
      <c r="C1" s="7" t="s">
        <v>186</v>
      </c>
      <c r="D1" s="7" t="s">
        <v>187</v>
      </c>
      <c r="E1" s="7" t="s">
        <v>188</v>
      </c>
      <c r="F1" s="7" t="s">
        <v>189</v>
      </c>
    </row>
    <row r="2" spans="1:6">
      <c r="A2" s="2" t="s">
        <v>49</v>
      </c>
      <c r="C2" s="8" t="s">
        <v>190</v>
      </c>
      <c r="D2" s="8" t="s">
        <v>191</v>
      </c>
    </row>
    <row r="3" spans="1:6">
      <c r="A3" s="2" t="s">
        <v>57</v>
      </c>
    </row>
    <row r="4" spans="1:6">
      <c r="A4" s="2" t="s">
        <v>63</v>
      </c>
    </row>
    <row r="5" spans="1:6">
      <c r="A5" s="2" t="s">
        <v>69</v>
      </c>
      <c r="C5" s="8" t="s">
        <v>192</v>
      </c>
    </row>
    <row r="6" spans="1:6">
      <c r="A6" s="2" t="s">
        <v>75</v>
      </c>
    </row>
    <row r="7" spans="1:6">
      <c r="A7" s="2" t="s">
        <v>82</v>
      </c>
    </row>
    <row r="8" spans="1:6">
      <c r="A8" s="2" t="s">
        <v>87</v>
      </c>
      <c r="C8" s="8" t="s">
        <v>190</v>
      </c>
      <c r="E8" s="8" t="s">
        <v>193</v>
      </c>
    </row>
    <row r="9" spans="1:6">
      <c r="A9" s="2" t="s">
        <v>94</v>
      </c>
      <c r="C9" s="8" t="s">
        <v>190</v>
      </c>
    </row>
    <row r="10" spans="1:6">
      <c r="A10" s="2" t="s">
        <v>99</v>
      </c>
      <c r="C10" s="8" t="s">
        <v>190</v>
      </c>
      <c r="F10" s="8" t="s">
        <v>193</v>
      </c>
    </row>
    <row r="11" spans="1:6">
      <c r="A11" s="2" t="s">
        <v>105</v>
      </c>
      <c r="C11" s="8" t="s">
        <v>193</v>
      </c>
    </row>
    <row r="12" spans="1:6">
      <c r="A12" s="2" t="s">
        <v>111</v>
      </c>
      <c r="B12" s="8" t="s">
        <v>194</v>
      </c>
      <c r="C12" s="8" t="s">
        <v>194</v>
      </c>
    </row>
    <row r="13" spans="1:6">
      <c r="A13" s="2" t="s">
        <v>117</v>
      </c>
      <c r="B13" s="8" t="s">
        <v>191</v>
      </c>
      <c r="C13" s="8" t="s">
        <v>191</v>
      </c>
    </row>
    <row r="14" spans="1:6">
      <c r="A14" s="2" t="s">
        <v>123</v>
      </c>
    </row>
    <row r="15" spans="1:6">
      <c r="A15" s="2" t="s">
        <v>129</v>
      </c>
      <c r="B15" s="8" t="s">
        <v>190</v>
      </c>
      <c r="C15" s="8" t="s">
        <v>190</v>
      </c>
    </row>
  </sheetData>
  <autoFilter ref="A1:F1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cols>
    <col min="1" max="4" width="30.7109375" customWidth="1"/>
  </cols>
  <sheetData>
    <row r="1" spans="1:4">
      <c r="A1" s="7" t="s">
        <v>159</v>
      </c>
      <c r="B1" s="7" t="s">
        <v>195</v>
      </c>
      <c r="C1" s="7" t="s">
        <v>196</v>
      </c>
      <c r="D1" s="7" t="s">
        <v>197</v>
      </c>
    </row>
    <row r="2" spans="1:4">
      <c r="A2" s="6" t="s">
        <v>49</v>
      </c>
      <c r="B2" s="6" t="s">
        <v>186</v>
      </c>
      <c r="C2" s="6" t="s">
        <v>180</v>
      </c>
      <c r="D2" s="6">
        <v>1</v>
      </c>
    </row>
    <row r="3" spans="1:4">
      <c r="A3" s="6" t="s">
        <v>49</v>
      </c>
      <c r="B3" s="6" t="s">
        <v>187</v>
      </c>
      <c r="C3" s="6" t="s">
        <v>179</v>
      </c>
      <c r="D3" s="6">
        <v>1</v>
      </c>
    </row>
    <row r="4" spans="1:4">
      <c r="A4" s="6" t="s">
        <v>69</v>
      </c>
      <c r="B4" s="6" t="s">
        <v>186</v>
      </c>
      <c r="C4" s="6" t="s">
        <v>70</v>
      </c>
      <c r="D4" s="6">
        <v>1</v>
      </c>
    </row>
    <row r="5" spans="1:4">
      <c r="A5" s="6" t="s">
        <v>87</v>
      </c>
      <c r="B5" s="6" t="s">
        <v>186</v>
      </c>
      <c r="C5" s="6" t="s">
        <v>180</v>
      </c>
      <c r="D5" s="6">
        <v>1</v>
      </c>
    </row>
    <row r="6" spans="1:4">
      <c r="A6" s="6" t="s">
        <v>87</v>
      </c>
      <c r="B6" s="6" t="s">
        <v>188</v>
      </c>
      <c r="C6" s="6" t="s">
        <v>181</v>
      </c>
      <c r="D6" s="6">
        <v>1</v>
      </c>
    </row>
    <row r="7" spans="1:4">
      <c r="A7" s="6" t="s">
        <v>94</v>
      </c>
      <c r="B7" s="6" t="s">
        <v>186</v>
      </c>
      <c r="C7" s="6" t="s">
        <v>180</v>
      </c>
      <c r="D7" s="6">
        <v>1</v>
      </c>
    </row>
    <row r="8" spans="1:4">
      <c r="A8" s="6" t="s">
        <v>99</v>
      </c>
      <c r="B8" s="6" t="s">
        <v>186</v>
      </c>
      <c r="C8" s="6" t="s">
        <v>180</v>
      </c>
      <c r="D8" s="6">
        <v>1</v>
      </c>
    </row>
    <row r="9" spans="1:4">
      <c r="A9" s="6" t="s">
        <v>99</v>
      </c>
      <c r="B9" s="6" t="s">
        <v>189</v>
      </c>
      <c r="C9" s="6" t="s">
        <v>181</v>
      </c>
      <c r="D9" s="6">
        <v>1</v>
      </c>
    </row>
    <row r="10" spans="1:4">
      <c r="A10" s="6" t="s">
        <v>105</v>
      </c>
      <c r="B10" s="6" t="s">
        <v>186</v>
      </c>
      <c r="C10" s="6" t="s">
        <v>181</v>
      </c>
      <c r="D10" s="6">
        <v>1</v>
      </c>
    </row>
    <row r="11" spans="1:4">
      <c r="A11" s="6" t="s">
        <v>111</v>
      </c>
      <c r="B11" s="6" t="s">
        <v>185</v>
      </c>
      <c r="C11" s="6" t="s">
        <v>181</v>
      </c>
      <c r="D11" s="6">
        <v>2</v>
      </c>
    </row>
    <row r="12" spans="1:4">
      <c r="A12" s="6" t="s">
        <v>111</v>
      </c>
      <c r="B12" s="6" t="s">
        <v>186</v>
      </c>
      <c r="C12" s="6" t="s">
        <v>181</v>
      </c>
      <c r="D12" s="6">
        <v>2</v>
      </c>
    </row>
    <row r="13" spans="1:4">
      <c r="A13" s="6" t="s">
        <v>117</v>
      </c>
      <c r="B13" s="6" t="s">
        <v>185</v>
      </c>
      <c r="C13" s="6" t="s">
        <v>179</v>
      </c>
      <c r="D13" s="6">
        <v>1</v>
      </c>
    </row>
    <row r="14" spans="1:4">
      <c r="A14" s="6" t="s">
        <v>117</v>
      </c>
      <c r="B14" s="6" t="s">
        <v>186</v>
      </c>
      <c r="C14" s="6" t="s">
        <v>179</v>
      </c>
      <c r="D14" s="6">
        <v>1</v>
      </c>
    </row>
    <row r="15" spans="1:4">
      <c r="A15" s="6" t="s">
        <v>129</v>
      </c>
      <c r="B15" s="6" t="s">
        <v>185</v>
      </c>
      <c r="C15" s="6" t="s">
        <v>180</v>
      </c>
      <c r="D15" s="6">
        <v>1</v>
      </c>
    </row>
    <row r="16" spans="1:4">
      <c r="A16" s="6" t="s">
        <v>129</v>
      </c>
      <c r="B16" s="6" t="s">
        <v>186</v>
      </c>
      <c r="C16" s="6" t="s">
        <v>180</v>
      </c>
      <c r="D16" s="6">
        <v>1</v>
      </c>
    </row>
  </sheetData>
  <autoFilter ref="A1:D16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30.7109375" customWidth="1"/>
  </cols>
  <sheetData>
    <row r="1" spans="1:2">
      <c r="A1" s="2" t="s">
        <v>198</v>
      </c>
      <c r="B1" s="2" t="s">
        <v>134</v>
      </c>
    </row>
    <row r="2" spans="1:2">
      <c r="A2" s="6" t="s">
        <v>199</v>
      </c>
      <c r="B2" s="6">
        <v>1</v>
      </c>
    </row>
    <row r="3" spans="1:2">
      <c r="A3" s="6" t="s">
        <v>200</v>
      </c>
      <c r="B3" s="6">
        <v>1</v>
      </c>
    </row>
    <row r="4" spans="1:2">
      <c r="A4" s="6" t="s">
        <v>201</v>
      </c>
      <c r="B4" s="6">
        <v>1</v>
      </c>
    </row>
    <row r="5" spans="1:2">
      <c r="A5" s="6" t="s">
        <v>202</v>
      </c>
      <c r="B5" s="6">
        <v>1</v>
      </c>
    </row>
    <row r="6" spans="1:2">
      <c r="A6" s="6" t="s">
        <v>203</v>
      </c>
      <c r="B6" s="6">
        <v>3</v>
      </c>
    </row>
    <row r="7" spans="1:2">
      <c r="A7" s="6" t="s">
        <v>172</v>
      </c>
      <c r="B7" s="6">
        <v>4</v>
      </c>
    </row>
    <row r="8" spans="1:2">
      <c r="A8" s="6" t="s">
        <v>204</v>
      </c>
      <c r="B8" s="6">
        <v>2</v>
      </c>
    </row>
    <row r="9" spans="1:2">
      <c r="A9" s="6" t="s">
        <v>205</v>
      </c>
      <c r="B9" s="6">
        <v>3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SQL Programs</vt:lpstr>
      <vt:lpstr>SQL Script Categories</vt:lpstr>
      <vt:lpstr>UNKNOWN SQL Category</vt:lpstr>
      <vt:lpstr>Loops &amp; Cursors</vt:lpstr>
      <vt:lpstr>Conditionals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SQL Data 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2026-01-14T10:38:23Z</dcterms:created>
  <dcterms:modified xsi:type="dcterms:W3CDTF">2026-01-14T10:38:23Z</dcterms:modified>
</cp:coreProperties>
</file>